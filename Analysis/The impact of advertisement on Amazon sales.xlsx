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owatoyinbo/Desktop/Econ 3060 bus-stat/Group project/"/>
    </mc:Choice>
  </mc:AlternateContent>
  <xr:revisionPtr revIDLastSave="0" documentId="13_ncr:1_{501073C8-62A7-F94C-A739-88B18B442E8F}" xr6:coauthVersionLast="47" xr6:coauthVersionMax="47" xr10:uidLastSave="{00000000-0000-0000-0000-000000000000}"/>
  <bookViews>
    <workbookView xWindow="0" yWindow="0" windowWidth="28800" windowHeight="18000" xr2:uid="{114F9BE6-B59D-45AB-91B4-D5C2A8F9BAF4}"/>
  </bookViews>
  <sheets>
    <sheet name="Sheet1" sheetId="1" r:id="rId1"/>
  </sheets>
  <definedNames>
    <definedName name="_xlnm._FilterDatabase" localSheetId="0" hidden="1">Sheet1!$B$3:$E$3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D18" i="1"/>
  <c r="C18" i="1"/>
  <c r="D17" i="1"/>
  <c r="C17" i="1"/>
  <c r="O10" i="1" l="1"/>
  <c r="O8" i="1"/>
</calcChain>
</file>

<file path=xl/sharedStrings.xml><?xml version="1.0" encoding="utf-8"?>
<sst xmlns="http://schemas.openxmlformats.org/spreadsheetml/2006/main" count="43" uniqueCount="41">
  <si>
    <t>Sales in billions US. $</t>
  </si>
  <si>
    <t xml:space="preserve">Year </t>
  </si>
  <si>
    <t>THE IMPACT OF ADVERTISEMENT ON AMAZON SALES</t>
  </si>
  <si>
    <t>Advertising in billions US. $</t>
  </si>
  <si>
    <t>Correlation coefficient using data analysis</t>
  </si>
  <si>
    <t>Correlation coefficient (formula) =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</si>
  <si>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</si>
  <si>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</si>
  <si>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</si>
  <si>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</si>
  <si>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</si>
  <si>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</si>
  <si>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</si>
  <si>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</si>
  <si>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</si>
  <si>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</si>
  <si>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</si>
  <si>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</si>
  <si>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</si>
  <si>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</si>
  <si>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</si>
  <si>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</si>
  <si>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</si>
  <si>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</si>
  <si>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</si>
  <si>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</si>
  <si>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</si>
  <si>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</si>
  <si>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</si>
  <si>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</si>
  <si>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Correlation Coefficient Using  ( = Correl ) </t>
  </si>
  <si>
    <t xml:space="preserve">Correlation Analysis </t>
  </si>
  <si>
    <r>
      <t xml:space="preserve"> </t>
    </r>
    <r>
      <rPr>
        <sz val="12"/>
        <color theme="1"/>
        <rFont val="Calibri (Body)"/>
      </rPr>
      <t xml:space="preserve">The relationship between the independent (Advertising) and dependent (Sales) vaeriable is linear because it has a straight-line scatter plot  pattern </t>
    </r>
  </si>
  <si>
    <r>
      <t>The Correlation Coefficient r (</t>
    </r>
    <r>
      <rPr>
        <sz val="12"/>
        <color rgb="FFFF0000"/>
        <rFont val="Calibri (Body)"/>
      </rPr>
      <t>0.974919836</t>
    </r>
    <r>
      <rPr>
        <sz val="12"/>
        <color theme="1"/>
        <rFont val="Calibri (Body)"/>
      </rPr>
      <t>) indicates that there is a positive relationship between Amazon's Advertiisng costs and its Sales from year 2014 to 2022</t>
    </r>
  </si>
  <si>
    <t>Minimum</t>
  </si>
  <si>
    <t>Maximum</t>
  </si>
  <si>
    <t>Mean</t>
  </si>
  <si>
    <t>Regression Analysis</t>
  </si>
  <si>
    <t xml:space="preserve">The estimated sample regression model is written as : </t>
  </si>
  <si>
    <t xml:space="preserve">Sales_hat = 19.21 + 25.82 * Advertising </t>
  </si>
  <si>
    <r>
      <t xml:space="preserve">The </t>
    </r>
    <r>
      <rPr>
        <sz val="11"/>
        <color theme="1"/>
        <rFont val="CMSSBX10"/>
      </rPr>
      <t xml:space="preserve">sample coefficient of determination, </t>
    </r>
    <r>
      <rPr>
        <sz val="11"/>
        <color theme="1"/>
        <rFont val="CMSSI10"/>
      </rPr>
      <t>R</t>
    </r>
    <r>
      <rPr>
        <sz val="8"/>
        <color theme="1"/>
        <rFont val="CMSS8"/>
      </rPr>
      <t>2</t>
    </r>
    <r>
      <rPr>
        <sz val="11"/>
        <color theme="1"/>
        <rFont val="CMSS10"/>
      </rPr>
      <t xml:space="preserve">, measures the percentage of the total variation of the dependent variable that is explained by the independent variable from a sample.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</si>
</sst>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 (Body)"/>
    </font>
    <font>
      <sz val="12"/>
      <color rgb="FFFF0000"/>
      <name val="Calibri (Body)"/>
    </font>
    <font>
      <sz val="14"/>
      <color theme="1"/>
      <name val="Calibri"/>
      <family val="2"/>
      <scheme val="minor"/>
    </font>
    <font>
      <sz val="11"/>
      <color theme="1"/>
      <name val="CMSS10"/>
    </font>
    <font>
      <sz val="11"/>
      <color theme="1"/>
      <name val="CMSSBX10"/>
    </font>
    <font>
      <sz val="11"/>
      <color theme="1"/>
      <name val="CMSSI10"/>
    </font>
    <font>
      <sz val="8"/>
      <color theme="1"/>
      <name val="CMSS8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6" xfId="0" applyFont="1" applyBorder="1" applyAlignment="1">
      <alignment horizontal="centerContinuous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4" borderId="0" xfId="0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/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THE IMPACT OF ADVERTISEMENT ON AMAZON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Sheet1!$C$4:$C$12</c:f>
              <c:numCache>
                <c:formatCode>General</c:formatCode>
                <c:ptCount val="9"/>
                <c:pt idx="0">
                  <c:v>88.99</c:v>
                </c:pt>
                <c:pt idx="1">
                  <c:v>107.01</c:v>
                </c:pt>
                <c:pt idx="2">
                  <c:v>135.99</c:v>
                </c:pt>
                <c:pt idx="3">
                  <c:v>177.87</c:v>
                </c:pt>
                <c:pt idx="4">
                  <c:v>232.89</c:v>
                </c:pt>
                <c:pt idx="5">
                  <c:v>280.52</c:v>
                </c:pt>
                <c:pt idx="6">
                  <c:v>386.06</c:v>
                </c:pt>
                <c:pt idx="7">
                  <c:v>469.82</c:v>
                </c:pt>
                <c:pt idx="8">
                  <c:v>513.98</c:v>
                </c:pt>
              </c:numCache>
            </c:numRef>
          </c:xVal>
          <c:yVal>
            <c:numRef>
              <c:f>Sheet1!$D$4:$D$12</c:f>
              <c:numCache>
                <c:formatCode>General</c:formatCode>
                <c:ptCount val="9"/>
                <c:pt idx="0">
                  <c:v>3.3</c:v>
                </c:pt>
                <c:pt idx="1">
                  <c:v>3.8</c:v>
                </c:pt>
                <c:pt idx="2">
                  <c:v>5</c:v>
                </c:pt>
                <c:pt idx="3">
                  <c:v>6.3</c:v>
                </c:pt>
                <c:pt idx="4">
                  <c:v>8.1999999999999993</c:v>
                </c:pt>
                <c:pt idx="5">
                  <c:v>11</c:v>
                </c:pt>
                <c:pt idx="6">
                  <c:v>10.9</c:v>
                </c:pt>
                <c:pt idx="7">
                  <c:v>16.899999999999999</c:v>
                </c:pt>
                <c:pt idx="8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19-4EF6-9346-768B620FBF7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1017461903"/>
        <c:axId val="1145063551"/>
      </c:scatterChart>
      <c:valAx>
        <c:axId val="101746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SV" sz="1050"/>
                  <a:t>Sales</a:t>
                </a:r>
                <a:endParaRPr lang="es-SV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63551"/>
        <c:crosses val="autoZero"/>
        <c:crossBetween val="midCat"/>
      </c:valAx>
      <c:valAx>
        <c:axId val="114506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SV" sz="1050"/>
                  <a:t>Advertising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46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1</xdr:row>
      <xdr:rowOff>147637</xdr:rowOff>
    </xdr:from>
    <xdr:to>
      <xdr:col>13</xdr:col>
      <xdr:colOff>9525</xdr:colOff>
      <xdr:row>11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5FD8F-E195-4C06-3656-98242034C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F9E0-AE66-4BF8-9C39-64146AFFBB53}">
  <dimension ref="A2:Q47"/>
  <sheetViews>
    <sheetView tabSelected="1" topLeftCell="A11" workbookViewId="0">
      <selection activeCell="H25" sqref="H25"/>
    </sheetView>
  </sheetViews>
  <sheetFormatPr baseColWidth="10" defaultColWidth="8.83203125" defaultRowHeight="15"/>
  <cols>
    <col min="3" max="3" width="15.5" customWidth="1"/>
    <col min="4" max="4" width="27.33203125" bestFit="1" customWidth="1"/>
    <col min="5" max="5" width="16.6640625" customWidth="1"/>
    <col min="6" max="6" width="15.6640625" customWidth="1"/>
    <col min="7" max="7" width="11.6640625" customWidth="1"/>
    <col min="8" max="8" width="11.83203125" customWidth="1"/>
    <col min="9" max="9" width="13.1640625" customWidth="1"/>
    <col min="10" max="10" width="9.1640625" customWidth="1"/>
    <col min="11" max="11" width="15" customWidth="1"/>
    <col min="14" max="14" width="39.33203125" customWidth="1"/>
  </cols>
  <sheetData>
    <row r="2" spans="2:17" ht="24" customHeight="1">
      <c r="B2" s="16" t="s">
        <v>2</v>
      </c>
      <c r="C2" s="17"/>
      <c r="D2" s="17"/>
      <c r="E2" s="9"/>
    </row>
    <row r="3" spans="2:17" ht="33" thickBot="1">
      <c r="B3" s="1" t="s">
        <v>1</v>
      </c>
      <c r="C3" s="2" t="s">
        <v>0</v>
      </c>
      <c r="D3" s="1" t="s">
        <v>3</v>
      </c>
      <c r="E3" s="8"/>
    </row>
    <row r="4" spans="2:17" ht="20" customHeight="1">
      <c r="B4" s="3">
        <v>2014</v>
      </c>
      <c r="C4" s="3">
        <v>88.99</v>
      </c>
      <c r="D4" s="3">
        <v>3.3</v>
      </c>
      <c r="E4" s="3"/>
      <c r="O4" s="5"/>
      <c r="P4" s="5">
        <v>88.99</v>
      </c>
      <c r="Q4" s="5">
        <v>4.01</v>
      </c>
    </row>
    <row r="5" spans="2:17" ht="20" customHeight="1">
      <c r="B5" s="3">
        <v>2015</v>
      </c>
      <c r="C5" s="3">
        <v>107.01</v>
      </c>
      <c r="D5" s="3">
        <v>3.8</v>
      </c>
      <c r="E5" s="3"/>
      <c r="O5">
        <v>88.99</v>
      </c>
      <c r="P5">
        <v>1</v>
      </c>
    </row>
    <row r="6" spans="2:17" ht="20" customHeight="1" thickBot="1">
      <c r="B6" s="3">
        <v>2016</v>
      </c>
      <c r="C6" s="3">
        <v>135.99</v>
      </c>
      <c r="D6" s="3">
        <v>5</v>
      </c>
      <c r="E6" s="3"/>
      <c r="N6" s="6" t="s">
        <v>4</v>
      </c>
      <c r="O6" s="4">
        <v>4.01</v>
      </c>
      <c r="P6" s="4">
        <v>0.96740642028457591</v>
      </c>
      <c r="Q6" s="4">
        <v>1</v>
      </c>
    </row>
    <row r="7" spans="2:17" ht="20" customHeight="1">
      <c r="B7" s="3">
        <v>2017</v>
      </c>
      <c r="C7" s="3">
        <v>177.87</v>
      </c>
      <c r="D7" s="3">
        <v>6.3</v>
      </c>
      <c r="E7" s="3"/>
    </row>
    <row r="8" spans="2:17" ht="20" customHeight="1">
      <c r="B8" s="3">
        <v>2018</v>
      </c>
      <c r="C8" s="3">
        <v>232.89</v>
      </c>
      <c r="D8" s="3">
        <v>8.1999999999999993</v>
      </c>
      <c r="E8" s="3"/>
      <c r="N8" s="6" t="s">
        <v>5</v>
      </c>
      <c r="O8">
        <f>_xlfn.COVARIANCE.S(C4:C12,D4:D12)/(_xlfn.STDEV.S(C4:C12)*_xlfn.STDEV.S(D4:D12))</f>
        <v>0.97491983631346624</v>
      </c>
    </row>
    <row r="9" spans="2:17" ht="20" customHeight="1">
      <c r="B9" s="3">
        <v>2019</v>
      </c>
      <c r="C9" s="3">
        <v>280.52</v>
      </c>
      <c r="D9" s="3">
        <v>11</v>
      </c>
      <c r="E9" s="3"/>
    </row>
    <row r="10" spans="2:17" ht="20" customHeight="1">
      <c r="B10" s="3">
        <v>2020</v>
      </c>
      <c r="C10" s="3">
        <v>386.06</v>
      </c>
      <c r="D10" s="3">
        <v>10.9</v>
      </c>
      <c r="E10" s="3"/>
      <c r="N10" s="6" t="s">
        <v>30</v>
      </c>
      <c r="O10">
        <f>CORREL(C4:C12,D4:D12)</f>
        <v>0.97491983631346602</v>
      </c>
    </row>
    <row r="11" spans="2:17" ht="20" customHeight="1">
      <c r="B11" s="3">
        <v>2021</v>
      </c>
      <c r="C11" s="3">
        <v>469.82</v>
      </c>
      <c r="D11" s="3">
        <v>16.899999999999999</v>
      </c>
      <c r="E11" s="3"/>
    </row>
    <row r="12" spans="2:17" ht="20" customHeight="1">
      <c r="B12" s="3">
        <v>2022</v>
      </c>
      <c r="C12" s="3">
        <v>513.98</v>
      </c>
      <c r="D12" s="3">
        <v>20.6</v>
      </c>
      <c r="E12" s="3"/>
    </row>
    <row r="13" spans="2:17" ht="20" customHeight="1">
      <c r="B13" s="14"/>
      <c r="C13" s="14"/>
      <c r="D13" s="14"/>
      <c r="E13" s="14"/>
    </row>
    <row r="14" spans="2:17" ht="20" customHeight="1">
      <c r="B14" s="14"/>
      <c r="C14" s="14"/>
      <c r="D14" s="14"/>
      <c r="E14" s="14"/>
    </row>
    <row r="16" spans="2:17" ht="32">
      <c r="G16" s="12" t="s">
        <v>31</v>
      </c>
    </row>
    <row r="17" spans="1:7">
      <c r="A17" s="10" t="s">
        <v>34</v>
      </c>
      <c r="C17">
        <f>MIN(C4:C12)</f>
        <v>88.99</v>
      </c>
      <c r="D17">
        <f>MIN(D4:D12)</f>
        <v>3.3</v>
      </c>
      <c r="G17" s="11"/>
    </row>
    <row r="18" spans="1:7" ht="16">
      <c r="A18" s="10" t="s">
        <v>35</v>
      </c>
      <c r="C18">
        <f>MAX(C4:C12)</f>
        <v>513.98</v>
      </c>
      <c r="D18">
        <f>MAX(D4:D12)</f>
        <v>20.6</v>
      </c>
      <c r="F18" s="10">
        <v>1</v>
      </c>
      <c r="G18" t="s">
        <v>32</v>
      </c>
    </row>
    <row r="19" spans="1:7" ht="16">
      <c r="A19" s="10" t="s">
        <v>36</v>
      </c>
      <c r="C19">
        <f>AVERAGE(C4:C12)</f>
        <v>265.90333333333336</v>
      </c>
      <c r="D19">
        <f>AVERAGE(D4:D12)</f>
        <v>9.5555555555555554</v>
      </c>
      <c r="F19" s="10">
        <v>2</v>
      </c>
      <c r="G19" s="13" t="s">
        <v>33</v>
      </c>
    </row>
    <row r="23" spans="1:7">
      <c r="F23" s="10"/>
      <c r="G23" s="18" t="s">
        <v>40</v>
      </c>
    </row>
    <row r="26" spans="1:7">
      <c r="F26" t="s">
        <v>6</v>
      </c>
    </row>
    <row r="27" spans="1:7" ht="16" thickBot="1"/>
    <row r="28" spans="1:7">
      <c r="F28" s="7" t="s">
        <v>7</v>
      </c>
      <c r="G28" s="7"/>
    </row>
    <row r="29" spans="1:7">
      <c r="F29" t="s">
        <v>8</v>
      </c>
      <c r="G29">
        <v>0.97491983631346602</v>
      </c>
    </row>
    <row r="30" spans="1:7">
      <c r="F30" t="s">
        <v>9</v>
      </c>
      <c r="G30">
        <v>0.95046868723747546</v>
      </c>
    </row>
    <row r="31" spans="1:7">
      <c r="F31" t="s">
        <v>10</v>
      </c>
      <c r="G31">
        <v>0.94339278541425764</v>
      </c>
    </row>
    <row r="32" spans="1:7">
      <c r="F32" t="s">
        <v>11</v>
      </c>
      <c r="G32">
        <v>37.622452196388743</v>
      </c>
    </row>
    <row r="33" spans="6:14" ht="16" thickBot="1">
      <c r="F33" s="4" t="s">
        <v>12</v>
      </c>
      <c r="G33" s="4">
        <v>9</v>
      </c>
    </row>
    <row r="35" spans="6:14" ht="16" thickBot="1">
      <c r="F35" t="s">
        <v>13</v>
      </c>
    </row>
    <row r="36" spans="6:14">
      <c r="F36" s="5"/>
      <c r="G36" s="5" t="s">
        <v>18</v>
      </c>
      <c r="H36" s="5" t="s">
        <v>19</v>
      </c>
      <c r="I36" s="5" t="s">
        <v>20</v>
      </c>
      <c r="J36" s="5" t="s">
        <v>21</v>
      </c>
      <c r="K36" s="5" t="s">
        <v>22</v>
      </c>
    </row>
    <row r="37" spans="6:14">
      <c r="F37" t="s">
        <v>14</v>
      </c>
      <c r="G37">
        <v>1</v>
      </c>
      <c r="H37">
        <v>190129.80963511311</v>
      </c>
      <c r="I37">
        <v>190129.80963511311</v>
      </c>
      <c r="J37">
        <v>134.32474205884958</v>
      </c>
      <c r="K37">
        <v>8.0270475856895116E-6</v>
      </c>
    </row>
    <row r="38" spans="6:14">
      <c r="F38" t="s">
        <v>15</v>
      </c>
      <c r="G38">
        <v>7</v>
      </c>
      <c r="H38">
        <v>9908.1423648868931</v>
      </c>
      <c r="I38">
        <v>1415.4489092695562</v>
      </c>
    </row>
    <row r="39" spans="6:14" ht="16" thickBot="1">
      <c r="F39" s="4" t="s">
        <v>16</v>
      </c>
      <c r="G39" s="4">
        <v>8</v>
      </c>
      <c r="H39" s="4">
        <v>200037.95199999999</v>
      </c>
      <c r="I39" s="4"/>
      <c r="J39" s="4"/>
      <c r="K39" s="4"/>
    </row>
    <row r="40" spans="6:14" ht="16" thickBot="1"/>
    <row r="41" spans="6:14">
      <c r="F41" s="5"/>
      <c r="G41" s="5" t="s">
        <v>23</v>
      </c>
      <c r="H41" s="5" t="s">
        <v>11</v>
      </c>
      <c r="I41" s="5" t="s">
        <v>24</v>
      </c>
      <c r="J41" s="5" t="s">
        <v>25</v>
      </c>
      <c r="K41" s="5" t="s">
        <v>26</v>
      </c>
      <c r="L41" s="5" t="s">
        <v>27</v>
      </c>
      <c r="M41" s="5" t="s">
        <v>28</v>
      </c>
      <c r="N41" s="5" t="s">
        <v>29</v>
      </c>
    </row>
    <row r="42" spans="6:14">
      <c r="F42" t="s">
        <v>17</v>
      </c>
      <c r="G42">
        <v>19.209145269849159</v>
      </c>
      <c r="H42">
        <v>24.705029136118853</v>
      </c>
      <c r="I42">
        <v>0.77753987514085998</v>
      </c>
      <c r="J42">
        <v>0.46230458992666112</v>
      </c>
      <c r="K42">
        <v>-39.208965761723825</v>
      </c>
      <c r="L42">
        <v>77.627256301422136</v>
      </c>
      <c r="M42">
        <v>-39.208965761723825</v>
      </c>
      <c r="N42">
        <v>77.627256301422136</v>
      </c>
    </row>
    <row r="43" spans="6:14" ht="16" thickBot="1">
      <c r="F43" s="4" t="s">
        <v>3</v>
      </c>
      <c r="G43" s="4">
        <v>25.816833634550672</v>
      </c>
      <c r="H43" s="4">
        <v>2.2275372153499924</v>
      </c>
      <c r="I43" s="4">
        <v>11.589855135369449</v>
      </c>
      <c r="J43" s="4">
        <v>8.0270475856895116E-6</v>
      </c>
      <c r="K43" s="4">
        <v>20.54954511380862</v>
      </c>
      <c r="L43" s="4">
        <v>31.084122155292725</v>
      </c>
      <c r="M43" s="4">
        <v>20.54954511380862</v>
      </c>
      <c r="N43" s="4">
        <v>31.084122155292725</v>
      </c>
    </row>
    <row r="45" spans="6:14">
      <c r="G45" s="10" t="s">
        <v>37</v>
      </c>
    </row>
    <row r="46" spans="6:14" ht="16">
      <c r="F46" s="13" t="s">
        <v>38</v>
      </c>
    </row>
    <row r="47" spans="6:14" ht="19">
      <c r="F47" s="15" t="s">
        <v>39</v>
      </c>
    </row>
  </sheetData>
  <autoFilter ref="B3:E3" xr:uid="{47ADF9E0-AE66-4BF8-9C39-64146AFFBB53}"/>
  <mergeCells count="1">
    <mergeCell ref="B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Figueroa</dc:creator>
  <cp:lastModifiedBy>Toyinbo, Mayowa V</cp:lastModifiedBy>
  <dcterms:created xsi:type="dcterms:W3CDTF">2023-11-11T22:09:59Z</dcterms:created>
  <dcterms:modified xsi:type="dcterms:W3CDTF">2023-12-06T07:21:56Z</dcterms:modified>
</cp:coreProperties>
</file>